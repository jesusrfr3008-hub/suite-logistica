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uv\suite_logistica\Documentos Pruebas\"/>
    </mc:Choice>
  </mc:AlternateContent>
  <xr:revisionPtr revIDLastSave="0" documentId="13_ncr:1_{EAFA8DF1-1B07-4441-8CAC-EFA1CFFFD09D}" xr6:coauthVersionLast="47" xr6:coauthVersionMax="47" xr10:uidLastSave="{00000000-0000-0000-0000-000000000000}"/>
  <bookViews>
    <workbookView xWindow="-120" yWindow="-120" windowWidth="20730" windowHeight="11040" xr2:uid="{B63D49C4-8D9F-4AB9-839C-04E769F9E85C}"/>
  </bookViews>
  <sheets>
    <sheet name="RESUME" sheetId="1" r:id="rId1"/>
  </sheets>
  <externalReferences>
    <externalReference r:id="rId2"/>
  </externalReferences>
  <definedNames>
    <definedName name="_xlnm._FilterDatabase" localSheetId="0" hidden="1">RESUME!$B$14:$K$22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H21" i="1"/>
  <c r="H20" i="1"/>
  <c r="H19" i="1"/>
  <c r="H18" i="1"/>
  <c r="H17" i="1"/>
  <c r="H16" i="1"/>
  <c r="H15" i="1"/>
  <c r="H23" i="1" s="1"/>
  <c r="I8" i="1"/>
  <c r="I9" i="1" s="1"/>
  <c r="H8" i="1"/>
  <c r="H9" i="1" s="1"/>
  <c r="G8" i="1"/>
  <c r="F8" i="1"/>
  <c r="F9" i="1" s="1"/>
  <c r="E7" i="1"/>
  <c r="E9" i="1" s="1"/>
  <c r="D7" i="1"/>
  <c r="D9" i="1" s="1"/>
  <c r="C7" i="1"/>
  <c r="D2" i="1"/>
  <c r="G9" i="1" l="1"/>
  <c r="J8" i="1"/>
  <c r="J7" i="1"/>
  <c r="C9" i="1"/>
  <c r="J9" i="1" s="1"/>
</calcChain>
</file>

<file path=xl/sharedStrings.xml><?xml version="1.0" encoding="utf-8"?>
<sst xmlns="http://schemas.openxmlformats.org/spreadsheetml/2006/main" count="45" uniqueCount="31">
  <si>
    <t>TASA EUROS</t>
  </si>
  <si>
    <t>TASA USD</t>
  </si>
  <si>
    <t>CONSOLIDADO ESTADOS DE CUENTA PROVEEDORES RECUERRENTES</t>
  </si>
  <si>
    <t>DESCRP</t>
  </si>
  <si>
    <t>DORC</t>
  </si>
  <si>
    <t>QUANTEL</t>
  </si>
  <si>
    <t>MEDICONTUR</t>
  </si>
  <si>
    <t>BVI PHYSIOL</t>
  </si>
  <si>
    <t>BVI OPTIKON</t>
  </si>
  <si>
    <t>BVI BEAVER</t>
  </si>
  <si>
    <t>BAUSCH</t>
  </si>
  <si>
    <t xml:space="preserve">TOTAL </t>
  </si>
  <si>
    <t>EUROS</t>
  </si>
  <si>
    <t>USD</t>
  </si>
  <si>
    <t>PESOS</t>
  </si>
  <si>
    <t>PROVEEDOR</t>
  </si>
  <si>
    <t>FACTURA</t>
  </si>
  <si>
    <t>FECHA DOCUMENTO</t>
  </si>
  <si>
    <t>VALOR</t>
  </si>
  <si>
    <t>MONDEDA</t>
  </si>
  <si>
    <t>VCTO</t>
  </si>
  <si>
    <t>CLP</t>
  </si>
  <si>
    <t>CD100068982</t>
  </si>
  <si>
    <t>CD100072238</t>
  </si>
  <si>
    <t>CD100072237</t>
  </si>
  <si>
    <t>CD100072239</t>
  </si>
  <si>
    <t>CF12607FC0218</t>
  </si>
  <si>
    <t>ZK2606245</t>
  </si>
  <si>
    <t>26014365</t>
  </si>
  <si>
    <t>Total divisas USD/EUR</t>
  </si>
  <si>
    <t>Total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</si>
</sst>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5" formatCode="_ * #,##0.00_ ;_ * \-#,##0.00_ ;_ * &quot;-&quot;_ ;_ @_ "/>
  </numFmts>
  <fonts count="7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u/>
      <sz val="10"/>
      <color theme="1"/>
      <name val="Verdana"/>
      <family val="2"/>
    </font>
    <font>
      <b/>
      <sz val="9"/>
      <color rgb="FF000000"/>
      <name val="Verdana"/>
      <family val="2"/>
    </font>
    <font>
      <sz val="9"/>
      <color theme="1"/>
      <name val="Arial"/>
      <family val="2"/>
    </font>
    <font>
      <sz val="9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CDD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 applyAlignment="1">
      <alignment horizontal="center" vertical="center"/>
    </xf>
    <xf numFmtId="41" fontId="0" fillId="0" borderId="0" xfId="1" applyFont="1"/>
    <xf numFmtId="0" fontId="2" fillId="0" borderId="0" xfId="0" applyFont="1"/>
    <xf numFmtId="4" fontId="2" fillId="2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41" fontId="0" fillId="2" borderId="3" xfId="1" applyFont="1" applyFill="1" applyBorder="1"/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41" fontId="2" fillId="2" borderId="5" xfId="1" applyFont="1" applyFill="1" applyBorder="1" applyAlignment="1">
      <alignment horizontal="center" vertical="center"/>
    </xf>
    <xf numFmtId="0" fontId="0" fillId="2" borderId="4" xfId="0" applyFill="1" applyBorder="1"/>
    <xf numFmtId="41" fontId="0" fillId="2" borderId="5" xfId="1" applyFont="1" applyFill="1" applyBorder="1" applyAlignment="1">
      <alignment horizontal="center"/>
    </xf>
    <xf numFmtId="41" fontId="2" fillId="2" borderId="5" xfId="1" applyFont="1" applyFill="1" applyBorder="1" applyAlignment="1">
      <alignment horizontal="center"/>
    </xf>
    <xf numFmtId="4" fontId="0" fillId="0" borderId="0" xfId="0" applyNumberFormat="1"/>
    <xf numFmtId="41" fontId="0" fillId="2" borderId="5" xfId="1" applyFont="1" applyFill="1" applyBorder="1"/>
    <xf numFmtId="0" fontId="0" fillId="2" borderId="6" xfId="0" applyFill="1" applyBorder="1"/>
    <xf numFmtId="41" fontId="0" fillId="2" borderId="7" xfId="1" applyFont="1" applyFill="1" applyBorder="1" applyAlignment="1">
      <alignment horizontal="center"/>
    </xf>
    <xf numFmtId="41" fontId="2" fillId="2" borderId="7" xfId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center" vertical="center"/>
    </xf>
    <xf numFmtId="3" fontId="6" fillId="0" borderId="0" xfId="0" applyNumberFormat="1" applyFont="1"/>
    <xf numFmtId="3" fontId="5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2" fillId="0" borderId="0" xfId="0" applyNumberFormat="1" applyFont="1"/>
    <xf numFmtId="3" fontId="0" fillId="0" borderId="0" xfId="0" applyNumberFormat="1"/>
    <xf numFmtId="165" fontId="4" fillId="4" borderId="8" xfId="1" applyNumberFormat="1" applyFont="1" applyFill="1" applyBorder="1" applyAlignment="1">
      <alignment horizontal="center" vertical="center"/>
    </xf>
    <xf numFmtId="165" fontId="5" fillId="0" borderId="8" xfId="1" applyNumberFormat="1" applyFont="1" applyBorder="1" applyAlignment="1">
      <alignment horizontal="center" vertical="center"/>
    </xf>
    <xf numFmtId="165" fontId="5" fillId="0" borderId="8" xfId="1" applyNumberFormat="1" applyFont="1" applyFill="1" applyBorder="1" applyAlignment="1">
      <alignment horizontal="center" vertical="center"/>
    </xf>
  </cellXfs>
  <cellStyles count="2">
    <cellStyle name="Millares [0]" xfId="1" builtinId="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OneDrive/Documentos/Accuvision%20SPA/Importaciones/Estados%20de%20Cuenta/Estado%20de%20cuenta%20Proveedores%20Septiembre%202026.xlsx" TargetMode="External"/><Relationship Id="rId2" Type="http://schemas.openxmlformats.org/officeDocument/2006/relationships/externalLinkPath" Target="file:///C:\Users\accuv\OneDrive\Documentos\Accuvision%20SPA\Importaciones\Estados%20de%20Cuenta\Estado%20de%20cuenta%20Proveedores%20Septiembre%202026.xlsx" TargetMode="External"/><Relationship Id="rId1" Type="http://schemas.openxmlformats.org/officeDocument/2006/relationships/externalLinkPath" Target="/Users/accuv/OneDrive/Documentos/Accuvision%20SPA/Importaciones/Estados%20de%20Cuenta/Estado%20de%20cuenta%20Proveedores%20Septiemb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E"/>
      <sheetName val="DORC"/>
      <sheetName val="QUANTEL"/>
      <sheetName val="MEDICONTUR"/>
      <sheetName val="BVI PHY"/>
      <sheetName val="BVI OPTIK"/>
      <sheetName val="BVI BEAVER"/>
      <sheetName val="BAUSH"/>
      <sheetName val="Hoja1"/>
      <sheetName val="PROV.NAC."/>
    </sheetNames>
    <sheetDataSet>
      <sheetData sheetId="0"/>
      <sheetData sheetId="1">
        <row r="5">
          <cell r="E5">
            <v>110585.42250160009</v>
          </cell>
        </row>
      </sheetData>
      <sheetData sheetId="2">
        <row r="6">
          <cell r="E6">
            <v>26428.689999999973</v>
          </cell>
        </row>
      </sheetData>
      <sheetData sheetId="3">
        <row r="6">
          <cell r="F6">
            <v>207</v>
          </cell>
        </row>
      </sheetData>
      <sheetData sheetId="4">
        <row r="6">
          <cell r="E6">
            <v>27922.789999999994</v>
          </cell>
        </row>
      </sheetData>
      <sheetData sheetId="5">
        <row r="6">
          <cell r="E6">
            <v>0.33000000000174623</v>
          </cell>
        </row>
      </sheetData>
      <sheetData sheetId="6">
        <row r="3">
          <cell r="E3">
            <v>15190</v>
          </cell>
        </row>
      </sheetData>
      <sheetData sheetId="7">
        <row r="1">
          <cell r="E1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1A4C-E5C5-407B-82F8-AEC583B9DC04}">
  <dimension ref="B1:K24"/>
  <sheetViews>
    <sheetView showGridLines="0" tabSelected="1" zoomScale="80" zoomScaleNormal="80" workbookViewId="0">
      <selection activeCell="E30" sqref="E30"/>
    </sheetView>
  </sheetViews>
  <sheetFormatPr baseColWidth="10" defaultRowHeight="12.75" x14ac:dyDescent="0.2"/>
  <cols>
    <col min="1" max="1" width="3.625" customWidth="1"/>
    <col min="2" max="2" width="23.5" customWidth="1"/>
    <col min="3" max="3" width="21.875" customWidth="1"/>
    <col min="4" max="4" width="22.625" customWidth="1"/>
    <col min="5" max="5" width="14.125" style="2" bestFit="1" customWidth="1"/>
    <col min="6" max="6" width="17.25" customWidth="1"/>
    <col min="7" max="7" width="19" customWidth="1"/>
    <col min="8" max="8" width="14.25" bestFit="1" customWidth="1"/>
    <col min="9" max="9" width="14.25" customWidth="1"/>
    <col min="10" max="10" width="16.625" bestFit="1" customWidth="1"/>
    <col min="11" max="11" width="12.75" bestFit="1" customWidth="1"/>
  </cols>
  <sheetData>
    <row r="1" spans="2:11" x14ac:dyDescent="0.2">
      <c r="C1" s="1"/>
    </row>
    <row r="2" spans="2:11" x14ac:dyDescent="0.2">
      <c r="B2" s="3" t="s">
        <v>0</v>
      </c>
      <c r="C2" s="4">
        <v>1077</v>
      </c>
      <c r="D2" s="5">
        <f ca="1">+TODAY()</f>
        <v>46283</v>
      </c>
    </row>
    <row r="3" spans="2:11" x14ac:dyDescent="0.2">
      <c r="B3" s="3" t="s">
        <v>1</v>
      </c>
      <c r="C3" s="4">
        <v>922.4</v>
      </c>
    </row>
    <row r="4" spans="2:11" ht="13.5" thickBot="1" x14ac:dyDescent="0.25">
      <c r="B4" s="6" t="s">
        <v>2</v>
      </c>
      <c r="C4" s="6"/>
      <c r="D4" s="6"/>
      <c r="E4" s="6"/>
      <c r="F4" s="6"/>
      <c r="G4" s="6"/>
      <c r="H4" s="6"/>
      <c r="I4" s="6"/>
      <c r="J4" s="6"/>
    </row>
    <row r="5" spans="2:11" x14ac:dyDescent="0.2">
      <c r="B5" s="7"/>
      <c r="C5" s="8"/>
      <c r="D5" s="8"/>
      <c r="E5" s="9"/>
      <c r="F5" s="8"/>
      <c r="G5" s="8"/>
      <c r="H5" s="8"/>
      <c r="I5" s="8"/>
      <c r="J5" s="8"/>
    </row>
    <row r="6" spans="2:11" ht="22.5" customHeight="1" x14ac:dyDescent="0.2">
      <c r="B6" s="10" t="s">
        <v>3</v>
      </c>
      <c r="C6" s="11" t="s">
        <v>4</v>
      </c>
      <c r="D6" s="11" t="s">
        <v>5</v>
      </c>
      <c r="E6" s="12" t="s">
        <v>6</v>
      </c>
      <c r="F6" s="11" t="s">
        <v>7</v>
      </c>
      <c r="G6" s="11" t="s">
        <v>8</v>
      </c>
      <c r="H6" s="11" t="s">
        <v>9</v>
      </c>
      <c r="I6" s="11" t="s">
        <v>10</v>
      </c>
      <c r="J6" s="11" t="s">
        <v>11</v>
      </c>
    </row>
    <row r="7" spans="2:11" x14ac:dyDescent="0.2">
      <c r="B7" s="13" t="s">
        <v>12</v>
      </c>
      <c r="C7" s="14">
        <f>+[1]DORC!E5</f>
        <v>110585.42250160009</v>
      </c>
      <c r="D7" s="14">
        <f>+[1]QUANTEL!E6</f>
        <v>26428.689999999973</v>
      </c>
      <c r="E7" s="14">
        <f>+[1]MEDICONTUR!F6</f>
        <v>207</v>
      </c>
      <c r="F7" s="14"/>
      <c r="G7" s="14"/>
      <c r="H7" s="14"/>
      <c r="I7" s="14"/>
      <c r="J7" s="15">
        <f>+C7+D7+E7+F7</f>
        <v>137221.11250160006</v>
      </c>
      <c r="K7" s="16"/>
    </row>
    <row r="8" spans="2:11" ht="13.5" thickBot="1" x14ac:dyDescent="0.25">
      <c r="B8" s="13" t="s">
        <v>13</v>
      </c>
      <c r="C8" s="17"/>
      <c r="D8" s="17"/>
      <c r="E8" s="17"/>
      <c r="F8" s="14">
        <f>+'[1]BVI PHY'!E6</f>
        <v>27922.789999999994</v>
      </c>
      <c r="G8" s="14">
        <f>+'[1]BVI OPTIK'!E6</f>
        <v>0.33000000000174623</v>
      </c>
      <c r="H8" s="14">
        <f>+'[1]BVI BEAVER'!E3</f>
        <v>15190</v>
      </c>
      <c r="I8" s="14">
        <f>+[1]BAUSH!E1</f>
        <v>0</v>
      </c>
      <c r="J8" s="15">
        <f>+F8+G8+H8+I8</f>
        <v>43113.119999999995</v>
      </c>
    </row>
    <row r="9" spans="2:11" ht="13.5" thickBot="1" x14ac:dyDescent="0.25">
      <c r="B9" s="18" t="s">
        <v>14</v>
      </c>
      <c r="C9" s="19">
        <f>+C7*C2</f>
        <v>119100500.03422329</v>
      </c>
      <c r="D9" s="19">
        <f>+D7*C2</f>
        <v>28463699.129999973</v>
      </c>
      <c r="E9" s="19">
        <f>+E7*C2</f>
        <v>222939</v>
      </c>
      <c r="F9" s="19">
        <f>+F8*C3</f>
        <v>25755981.495999992</v>
      </c>
      <c r="G9" s="19">
        <f>+G8*C3</f>
        <v>304.39200000161071</v>
      </c>
      <c r="H9" s="19">
        <f>+H8*C3</f>
        <v>14011256</v>
      </c>
      <c r="I9" s="19">
        <f>+I8*C3</f>
        <v>0</v>
      </c>
      <c r="J9" s="20">
        <f>SUM(C9:I9)</f>
        <v>187554680.05222324</v>
      </c>
      <c r="K9" s="16"/>
    </row>
    <row r="10" spans="2:11" ht="3" customHeight="1" x14ac:dyDescent="0.2">
      <c r="C10" s="16"/>
      <c r="D10" s="16"/>
      <c r="F10" s="16"/>
      <c r="G10" s="16"/>
      <c r="H10" s="16"/>
      <c r="I10" s="16"/>
    </row>
    <row r="11" spans="2:11" ht="3" customHeight="1" x14ac:dyDescent="0.2"/>
    <row r="12" spans="2:11" ht="3" customHeight="1" x14ac:dyDescent="0.2"/>
    <row r="13" spans="2:11" ht="3" customHeight="1" x14ac:dyDescent="0.2"/>
    <row r="14" spans="2:11" x14ac:dyDescent="0.2">
      <c r="B14" s="21" t="s">
        <v>15</v>
      </c>
      <c r="C14" s="21" t="s">
        <v>16</v>
      </c>
      <c r="D14" s="21" t="s">
        <v>17</v>
      </c>
      <c r="E14" s="34" t="s">
        <v>18</v>
      </c>
      <c r="F14" s="21" t="s">
        <v>19</v>
      </c>
      <c r="G14" s="21" t="s">
        <v>20</v>
      </c>
      <c r="H14" s="22" t="s">
        <v>21</v>
      </c>
      <c r="I14" s="22"/>
    </row>
    <row r="15" spans="2:11" x14ac:dyDescent="0.2">
      <c r="B15" s="23" t="s">
        <v>4</v>
      </c>
      <c r="C15" s="24" t="s">
        <v>22</v>
      </c>
      <c r="D15" s="25">
        <v>46217</v>
      </c>
      <c r="E15" s="35">
        <v>85653.63</v>
      </c>
      <c r="F15" s="23" t="s">
        <v>12</v>
      </c>
      <c r="G15" s="25">
        <v>46277</v>
      </c>
      <c r="H15" s="26">
        <f t="shared" ref="H15:H20" si="0">+E15*$C$2</f>
        <v>92248959.510000005</v>
      </c>
      <c r="I15" s="26"/>
    </row>
    <row r="16" spans="2:11" x14ac:dyDescent="0.2">
      <c r="B16" s="23" t="s">
        <v>4</v>
      </c>
      <c r="C16" s="24" t="s">
        <v>23</v>
      </c>
      <c r="D16" s="25">
        <v>46254</v>
      </c>
      <c r="E16" s="35">
        <v>22342</v>
      </c>
      <c r="F16" s="23" t="s">
        <v>12</v>
      </c>
      <c r="G16" s="25">
        <v>46314</v>
      </c>
      <c r="H16" s="26">
        <f t="shared" si="0"/>
        <v>24062334</v>
      </c>
      <c r="I16" s="26"/>
    </row>
    <row r="17" spans="2:10" x14ac:dyDescent="0.2">
      <c r="B17" s="23" t="s">
        <v>4</v>
      </c>
      <c r="C17" s="24" t="s">
        <v>24</v>
      </c>
      <c r="D17" s="25">
        <v>46254</v>
      </c>
      <c r="E17" s="35">
        <v>1950.85</v>
      </c>
      <c r="F17" s="23" t="s">
        <v>12</v>
      </c>
      <c r="G17" s="25">
        <v>46314</v>
      </c>
      <c r="H17" s="26">
        <f t="shared" si="0"/>
        <v>2101065.4499999997</v>
      </c>
      <c r="I17" s="26"/>
    </row>
    <row r="18" spans="2:10" x14ac:dyDescent="0.2">
      <c r="B18" s="23" t="s">
        <v>4</v>
      </c>
      <c r="C18" s="24" t="s">
        <v>25</v>
      </c>
      <c r="D18" s="25">
        <v>46254</v>
      </c>
      <c r="E18" s="35">
        <v>639</v>
      </c>
      <c r="F18" s="23" t="s">
        <v>12</v>
      </c>
      <c r="G18" s="25">
        <v>46314</v>
      </c>
      <c r="H18" s="26">
        <f t="shared" si="0"/>
        <v>688203</v>
      </c>
      <c r="I18" s="26"/>
    </row>
    <row r="19" spans="2:10" x14ac:dyDescent="0.2">
      <c r="B19" s="23" t="s">
        <v>5</v>
      </c>
      <c r="C19" s="24" t="s">
        <v>26</v>
      </c>
      <c r="D19" s="25">
        <v>46225</v>
      </c>
      <c r="E19" s="36">
        <v>26429</v>
      </c>
      <c r="F19" s="23" t="s">
        <v>12</v>
      </c>
      <c r="G19" s="25">
        <v>46270</v>
      </c>
      <c r="H19" s="26">
        <f t="shared" si="0"/>
        <v>28464033</v>
      </c>
      <c r="I19" s="26"/>
    </row>
    <row r="20" spans="2:10" x14ac:dyDescent="0.2">
      <c r="B20" s="23" t="s">
        <v>6</v>
      </c>
      <c r="C20" s="24" t="s">
        <v>27</v>
      </c>
      <c r="D20" s="25">
        <v>46258</v>
      </c>
      <c r="E20" s="36">
        <v>207</v>
      </c>
      <c r="F20" s="23" t="s">
        <v>12</v>
      </c>
      <c r="G20" s="25">
        <v>46288</v>
      </c>
      <c r="H20" s="26">
        <f t="shared" si="0"/>
        <v>222939</v>
      </c>
      <c r="I20" s="26"/>
    </row>
    <row r="21" spans="2:10" x14ac:dyDescent="0.2">
      <c r="B21" s="23" t="s">
        <v>7</v>
      </c>
      <c r="C21" s="24" t="s">
        <v>28</v>
      </c>
      <c r="D21" s="25">
        <v>46231</v>
      </c>
      <c r="E21" s="36">
        <v>7508.7</v>
      </c>
      <c r="F21" s="27" t="s">
        <v>13</v>
      </c>
      <c r="G21" s="25">
        <v>46291</v>
      </c>
      <c r="H21" s="26">
        <f t="shared" ref="H21" si="1">+E21*$C$3</f>
        <v>6926024.8799999999</v>
      </c>
      <c r="I21" s="26"/>
    </row>
    <row r="22" spans="2:10" x14ac:dyDescent="0.2">
      <c r="B22" s="28"/>
      <c r="C22" s="28"/>
      <c r="D22" s="29"/>
      <c r="E22" s="30"/>
      <c r="F22" s="31"/>
      <c r="G22" s="29"/>
      <c r="H22" s="26"/>
      <c r="I22" s="26"/>
    </row>
    <row r="23" spans="2:10" x14ac:dyDescent="0.2">
      <c r="D23" s="3" t="s">
        <v>29</v>
      </c>
      <c r="E23" s="32">
        <f>SUBTOTAL(9,E15:E22)</f>
        <v>144730.18000000002</v>
      </c>
      <c r="G23" s="3" t="s">
        <v>30</v>
      </c>
      <c r="H23" s="32">
        <f>SUBTOTAL(9,H15:H22)</f>
        <v>154713558.84</v>
      </c>
      <c r="I23" s="32"/>
      <c r="J23" s="33"/>
    </row>
    <row r="24" spans="2:10" x14ac:dyDescent="0.2">
      <c r="H24" s="32"/>
      <c r="I24" s="32"/>
    </row>
  </sheetData>
  <autoFilter ref="B14:K22" xr:uid="{6A216FA9-72FD-4AC4-905E-37CB9DFE382D}"/>
  <mergeCells count="1">
    <mergeCell ref="B4:J4"/>
  </mergeCells>
  <conditionalFormatting sqref="G15:G21">
    <cfRule type="cellIs" dxfId="0" priority="1" operator="lessThan">
      <formula>$D$2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Accuvision spa2</dc:creator>
  <cp:lastModifiedBy>Accuvision spa2</cp:lastModifiedBy>
  <dcterms:created xsi:type="dcterms:W3CDTF">2026-09-18T14:53:25Z</dcterms:created>
  <dcterms:modified xsi:type="dcterms:W3CDTF">2026-09-18T15:18:52Z</dcterms:modified>
</cp:coreProperties>
</file>